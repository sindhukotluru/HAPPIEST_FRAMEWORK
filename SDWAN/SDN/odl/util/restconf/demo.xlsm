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Karthik\CodeBase\E_R&amp;D\SDN\odl\util\restconf\"/>
    </mc:Choice>
  </mc:AlternateContent>
  <bookViews>
    <workbookView xWindow="0" yWindow="0" windowWidth="19200" windowHeight="6825" tabRatio="849"/>
  </bookViews>
  <sheets>
    <sheet name="APITEST" sheetId="1" r:id="rId1"/>
    <sheet name="endpoint urls" sheetId="4" r:id="rId2"/>
    <sheet name="model schemas" sheetId="8" r:id="rId3"/>
    <sheet name="error schemas" sheetId="17" r:id="rId4"/>
    <sheet name="HTTP" sheetId="2" state="hidden" r:id="rId5"/>
    <sheet name="Payload References" sheetId="18" r:id="rId6"/>
    <sheet name="Configuration" sheetId="20" r:id="rId7"/>
    <sheet name="datasource references" sheetId="21" r:id="rId8"/>
  </sheets>
  <functionGroups builtInGroupCount="18"/>
  <definedNames>
    <definedName name="HTTP_METHOD">HTTP!$A$2:$A$5</definedName>
    <definedName name="RESPONSE_CODES">HTTP!$B$2:$B$10</definedName>
    <definedName name="URLS">'endpoint urls'!$C$4:$C$9</definedName>
    <definedName name="vpn_instance_request_payload">'Payload References'!$A:$A</definedName>
    <definedName name="vpn_instance_response_payload">'Payload References'!$B:$B</definedName>
    <definedName name="vpn_interface_request_payload">'Payload References'!$C:$C</definedName>
    <definedName name="vpn_interface_response_payload">'Payload References'!$D:$D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L3" i="1"/>
  <c r="M3" i="1"/>
  <c r="N3" i="1"/>
  <c r="H3" i="1"/>
  <c r="I3" i="1"/>
  <c r="J3" i="1"/>
  <c r="C3" i="1"/>
  <c r="D3" i="1"/>
  <c r="E3" i="1"/>
  <c r="F3" i="1"/>
  <c r="G3" i="1"/>
  <c r="B3" i="1"/>
</calcChain>
</file>

<file path=xl/sharedStrings.xml><?xml version="1.0" encoding="utf-8"?>
<sst xmlns="http://schemas.openxmlformats.org/spreadsheetml/2006/main" count="170" uniqueCount="83">
  <si>
    <t>METHODS</t>
  </si>
  <si>
    <t>RESPONSE CODES</t>
  </si>
  <si>
    <t>GET</t>
  </si>
  <si>
    <t>PUT</t>
  </si>
  <si>
    <t>POST</t>
  </si>
  <si>
    <t>DELETE</t>
  </si>
  <si>
    <t>APITEST_2</t>
  </si>
  <si>
    <t>test id</t>
  </si>
  <si>
    <t>Header Row</t>
  </si>
  <si>
    <t>method</t>
  </si>
  <si>
    <t>url</t>
  </si>
  <si>
    <t>VPN-INSTANCE</t>
  </si>
  <si>
    <t>VPN-INTERFACE</t>
  </si>
  <si>
    <t>INTERFACE</t>
  </si>
  <si>
    <t>D:\Karthik\Ericsson\repo\api testing\response\vm_vpninterface.json</t>
  </si>
  <si>
    <t>D:\Karthik\Ericsson\repo\api testing\response\vm_interface.json</t>
  </si>
  <si>
    <t>resource</t>
  </si>
  <si>
    <t>expected response code</t>
  </si>
  <si>
    <t>execute</t>
  </si>
  <si>
    <t>new test</t>
  </si>
  <si>
    <t>http method</t>
  </si>
  <si>
    <t>expected response</t>
  </si>
  <si>
    <t>bulk execute</t>
  </si>
  <si>
    <t>status</t>
  </si>
  <si>
    <t>actual response</t>
  </si>
  <si>
    <t>actual response code</t>
  </si>
  <si>
    <t>vpn-instance.request.payload_1</t>
  </si>
  <si>
    <t>vpn-interface.request.payload_1</t>
  </si>
  <si>
    <t>vpn-instance.request.payload_2</t>
  </si>
  <si>
    <t>vpn-instance.response.APITEST_3</t>
  </si>
  <si>
    <t>schema</t>
  </si>
  <si>
    <t>response codes</t>
  </si>
  <si>
    <t>D:\Karthik\Ericsson\repo\api testing\response\401.json</t>
  </si>
  <si>
    <t>D:\Karthik\Ericsson\repo\api testing\response\404.json</t>
  </si>
  <si>
    <t>schema file path</t>
  </si>
  <si>
    <t>request parameters</t>
  </si>
  <si>
    <t>vpn-instance.request.payload_3</t>
  </si>
  <si>
    <t>vpn-instance.request.payload</t>
  </si>
  <si>
    <t>vpn-instance.response.payload</t>
  </si>
  <si>
    <t>vpn-interface.request.payload</t>
  </si>
  <si>
    <t>vpn-interface.response.payload</t>
  </si>
  <si>
    <t>vpn-instance.request.payload_4</t>
  </si>
  <si>
    <t>vpn-instance.response.APITEST_1</t>
  </si>
  <si>
    <t>vpn-instance.response.APITEST_2</t>
  </si>
  <si>
    <t>vpn-instance.response.APITEST_4</t>
  </si>
  <si>
    <t>vpn-interface.request.payload_2</t>
  </si>
  <si>
    <t>vpn-interface.request.payload_3</t>
  </si>
  <si>
    <t>vpn-interface.request.payload_4</t>
  </si>
  <si>
    <t>vpn-interface.response.APITEST_6</t>
  </si>
  <si>
    <t>vpn-interface.response.APITEST_7</t>
  </si>
  <si>
    <t>vpn-interface.response.APITEST_8</t>
  </si>
  <si>
    <t>vpn-interface.response.APITEST_9</t>
  </si>
  <si>
    <t>HOST</t>
  </si>
  <si>
    <t>USER</t>
  </si>
  <si>
    <t>PASSWORD</t>
  </si>
  <si>
    <t>BASEURL</t>
  </si>
  <si>
    <t>API PORT</t>
  </si>
  <si>
    <t>10.18.20.99</t>
  </si>
  <si>
    <t>admin</t>
  </si>
  <si>
    <t>/restconf</t>
  </si>
  <si>
    <t>RESOURCE</t>
  </si>
  <si>
    <t>FILE PATH</t>
  </si>
  <si>
    <t>l3vpn:vpn-instances/</t>
  </si>
  <si>
    <t>l3vpn:vpn-interfaces/</t>
  </si>
  <si>
    <t>ietf-interfaces:interfaces/</t>
  </si>
  <si>
    <t>APITEST_1</t>
  </si>
  <si>
    <t>l3vpn:vpn-instances/vpn-instance/{vpn-instance-name}</t>
  </si>
  <si>
    <t>APITEST_3</t>
  </si>
  <si>
    <t>APITEST_4</t>
  </si>
  <si>
    <t>vpn-instance.response.apitest_2</t>
  </si>
  <si>
    <t>PASSED</t>
  </si>
  <si>
    <t>D:\Karthik\CodeBase\E_R&amp;D\SDN\odl\util\restconf\request\odl_resource_payloads.xls</t>
  </si>
  <si>
    <t>APITEST_5</t>
  </si>
  <si>
    <t>APITEST_6</t>
  </si>
  <si>
    <t>l3vpn:vpn-interfaces/vpn-interface/{name}</t>
  </si>
  <si>
    <t>APITEST_7</t>
  </si>
  <si>
    <t>APITEST_8</t>
  </si>
  <si>
    <t>vpn-instance.response.apitest_1</t>
  </si>
  <si>
    <t>FAILED</t>
  </si>
  <si>
    <t>vpn-interface.response.apitest_7</t>
  </si>
  <si>
    <t>vpn-instance.response.apitest_8</t>
  </si>
  <si>
    <t>vpn-interface.response.apitest_5</t>
  </si>
  <si>
    <t>vpn-interface.response.apitest_6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</si>
</sst>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ourier New"/>
      <family val="3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1" quotePrefix="1"/>
    <xf numFmtId="0" fontId="3" fillId="0" borderId="0" xfId="1"/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</cellXfs>
  <cellStyles count="2">
    <cellStyle name="Hyperlink" xfId="1" builtinId="8"/>
    <cellStyle name="Normal" xfId="0" builtinId="0"/>
  </cellStyles>
  <dxfs count="19"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58" name="Add Test6" hidden="1">
              <a:extLst>
                <a:ext uri="{63B3BB69-23CF-44E3-9099-C40C66FF867C}">
                  <a14:compatExt spid="_x0000_s1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1359" name="Execute6" hidden="1">
              <a:extLst>
                <a:ext uri="{63B3BB69-23CF-44E3-9099-C40C66FF867C}">
                  <a14:compatExt spid="_x0000_s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3" name="Add Test6" hidden="1">
              <a:extLst>
                <a:ext uri="{63B3BB69-23CF-44E3-9099-C40C66FF867C}">
                  <a14:compatExt spid="_x0000_s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534" name="Execute6" hidden="1">
              <a:extLst>
                <a:ext uri="{63B3BB69-23CF-44E3-9099-C40C66FF867C}">
                  <a14:compatExt spid="_x0000_s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" name="Add Test7" hidden="1">
              <a:extLst>
                <a:ext uri="{63B3BB69-23CF-44E3-9099-C40C66FF867C}">
                  <a14:compatExt spid="_x0000_s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537" name="Execute7" hidden="1">
              <a:extLst>
                <a:ext uri="{63B3BB69-23CF-44E3-9099-C40C66FF867C}">
                  <a14:compatExt spid="_x0000_s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546" name="Add Test8" hidden="1">
              <a:extLst>
                <a:ext uri="{63B3BB69-23CF-44E3-9099-C40C66FF867C}">
                  <a14:compatExt spid="_x0000_s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548" name="Execute8" hidden="1">
              <a:extLst>
                <a:ext uri="{63B3BB69-23CF-44E3-9099-C40C66FF867C}">
                  <a14:compatExt spid="_x0000_s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550" name="Add Test9" hidden="1">
              <a:extLst>
                <a:ext uri="{63B3BB69-23CF-44E3-9099-C40C66FF867C}">
                  <a14:compatExt spid="_x0000_s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551" name="Execute9" hidden="1">
              <a:extLst>
                <a:ext uri="{63B3BB69-23CF-44E3-9099-C40C66FF867C}">
                  <a14:compatExt spid="_x0000_s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558" name="Add Test10" hidden="1">
              <a:extLst>
                <a:ext uri="{63B3BB69-23CF-44E3-9099-C40C66FF867C}">
                  <a14:compatExt spid="_x0000_s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559" name="Execute10" hidden="1">
              <a:extLst>
                <a:ext uri="{63B3BB69-23CF-44E3-9099-C40C66FF867C}">
                  <a14:compatExt spid="_x0000_s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564" name="Add Test11" hidden="1">
              <a:extLst>
                <a:ext uri="{63B3BB69-23CF-44E3-9099-C40C66FF867C}">
                  <a14:compatExt spid="_x0000_s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565" name="Execute11" hidden="1">
              <a:extLst>
                <a:ext uri="{63B3BB69-23CF-44E3-9099-C40C66FF867C}">
                  <a14:compatExt spid="_x0000_s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567" name="Add Test12" hidden="1">
              <a:extLst>
                <a:ext uri="{63B3BB69-23CF-44E3-9099-C40C66FF867C}">
                  <a14:compatExt spid="_x0000_s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568" name="Execute12" hidden="1">
              <a:extLst>
                <a:ext uri="{63B3BB69-23CF-44E3-9099-C40C66FF867C}">
                  <a14:compatExt spid="_x0000_s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4:N12" totalsRowShown="0" headerRowDxfId="18" dataDxfId="17">
  <autoFilter ref="B4:N12"/>
  <tableColumns count="13">
    <tableColumn id="1" name="new test" dataDxfId="16"/>
    <tableColumn id="2" name="test id" dataDxfId="15"/>
    <tableColumn id="3" name="resource" dataDxfId="14"/>
    <tableColumn id="4" name="url" dataDxfId="13"/>
    <tableColumn id="5" name="method" dataDxfId="12"/>
    <tableColumn id="6" name="request parameters" dataDxfId="11"/>
    <tableColumn id="7" name="expected response" dataDxfId="10"/>
    <tableColumn id="8" name="expected response code" dataDxfId="9"/>
    <tableColumn id="9" name="actual response" dataDxfId="8"/>
    <tableColumn id="14" name="actual response code" dataDxfId="7"/>
    <tableColumn id="15" name="execute" dataDxfId="6"/>
    <tableColumn id="16" name="bulk execute" dataDxfId="5"/>
    <tableColumn id="17" name="status" dataDxfId="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C3:E1048576" totalsRowShown="0" headerRowDxfId="3">
  <autoFilter ref="C3:E1048576"/>
  <tableColumns count="3">
    <tableColumn id="1" name="resource"/>
    <tableColumn id="2" name="url"/>
    <tableColumn id="3" name="http metho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C4:D1048576" totalsRowShown="0" headerRowDxfId="2">
  <autoFilter ref="C4:D1048576"/>
  <tableColumns count="2">
    <tableColumn id="1" name="resource"/>
    <tableColumn id="2" name="schema file pa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C4:D1048576" totalsRowShown="0" headerRowDxfId="1">
  <autoFilter ref="C4:D1048576"/>
  <tableColumns count="2">
    <tableColumn id="1" name="response codes" dataDxfId="0"/>
    <tableColumn id="2" name="sch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PITEST"/>
  <dimension ref="A1:U12"/>
  <sheetViews>
    <sheetView tabSelected="1" topLeftCell="H1" workbookViewId="0">
      <selection activeCell="M16" sqref="M16"/>
    </sheetView>
  </sheetViews>
  <sheetFormatPr defaultRowHeight="15" x14ac:dyDescent="0.25"/>
  <cols>
    <col min="1" max="1" width="11.7109375" style="7" bestFit="1" customWidth="1"/>
    <col min="2" max="2" width="15.140625" style="8" customWidth="1"/>
    <col min="3" max="3" width="14.140625" style="7" customWidth="1"/>
    <col min="4" max="4" width="19.7109375" style="7" customWidth="1"/>
    <col min="5" max="5" width="51.140625" style="7" customWidth="1"/>
    <col min="6" max="6" width="15.7109375" style="8" customWidth="1"/>
    <col min="7" max="7" width="33.7109375" style="7" customWidth="1"/>
    <col min="8" max="8" width="35.140625" style="7" customWidth="1"/>
    <col min="9" max="9" width="27.5703125" style="8" bestFit="1" customWidth="1"/>
    <col min="10" max="10" width="30.42578125" style="8" customWidth="1"/>
    <col min="11" max="11" width="25.140625" style="8" customWidth="1"/>
    <col min="12" max="12" width="13" style="7" customWidth="1"/>
    <col min="13" max="13" width="15.5703125" style="7" customWidth="1"/>
    <col min="14" max="14" width="13.140625" style="8" customWidth="1"/>
    <col min="15" max="21" width="9.140625" style="7"/>
    <col min="22" max="22" width="30.140625" style="7" bestFit="1" customWidth="1"/>
    <col min="23" max="16384" width="9.140625" style="7"/>
  </cols>
  <sheetData>
    <row r="1" spans="1:21" x14ac:dyDescent="0.25">
      <c r="A1" s="5" t="s">
        <v>8</v>
      </c>
      <c r="B1" s="6">
        <v>4</v>
      </c>
    </row>
    <row r="2" spans="1:21" x14ac:dyDescent="0.25">
      <c r="A2" s="5"/>
      <c r="B2" s="6"/>
    </row>
    <row r="3" spans="1:21" x14ac:dyDescent="0.25">
      <c r="A3" s="5"/>
      <c r="B3" s="6">
        <f>MATCH(Table1[[#Headers],[new test]],4:4, 0)</f>
        <v>2</v>
      </c>
      <c r="C3" s="6">
        <f>MATCH(Table1[[#Headers],[test id]],4:4, 0)</f>
        <v>3</v>
      </c>
      <c r="D3" s="6">
        <f>MATCH(Table1[[#Headers],[resource]],4:4, 0)</f>
        <v>4</v>
      </c>
      <c r="E3" s="6">
        <f>MATCH(Table1[[#Headers],[url]],4:4, 0)</f>
        <v>5</v>
      </c>
      <c r="F3" s="6">
        <f>MATCH(Table1[[#Headers],[method]],4:4, 0)</f>
        <v>6</v>
      </c>
      <c r="G3" s="6">
        <f>MATCH(Table1[[#Headers],[request parameters]],4:4, 0)</f>
        <v>7</v>
      </c>
      <c r="H3" s="6">
        <f>MATCH(Table1[[#Headers],[expected response]],4:4, 0)</f>
        <v>8</v>
      </c>
      <c r="I3" s="6">
        <f>MATCH(Table1[[#Headers],[expected response code]],4:4, 0)</f>
        <v>9</v>
      </c>
      <c r="J3" s="6">
        <f>MATCH(Table1[[#Headers],[actual response]],4:4, 0)</f>
        <v>10</v>
      </c>
      <c r="K3" s="6">
        <f>MATCH(Table1[[#Headers],[actual response code]],4:4, 0)</f>
        <v>11</v>
      </c>
      <c r="L3" s="6">
        <f>MATCH(Table1[[#Headers],[execute]],4:4, 0)</f>
        <v>12</v>
      </c>
      <c r="M3" s="6">
        <f>MATCH(Table1[[#Headers],[bulk execute]],4:4, 0)</f>
        <v>13</v>
      </c>
      <c r="N3" s="6">
        <f>MATCH(Table1[[#Headers],[status]],4:4, 0)</f>
        <v>14</v>
      </c>
    </row>
    <row r="4" spans="1:21" s="6" customFormat="1" ht="18.75" customHeight="1" x14ac:dyDescent="0.25">
      <c r="B4" s="6" t="s">
        <v>19</v>
      </c>
      <c r="C4" s="6" t="s">
        <v>7</v>
      </c>
      <c r="D4" s="6" t="s">
        <v>16</v>
      </c>
      <c r="E4" s="6" t="s">
        <v>10</v>
      </c>
      <c r="F4" s="6" t="s">
        <v>9</v>
      </c>
      <c r="G4" s="6" t="s">
        <v>35</v>
      </c>
      <c r="H4" s="9" t="s">
        <v>21</v>
      </c>
      <c r="I4" s="6" t="s">
        <v>17</v>
      </c>
      <c r="J4" s="6" t="s">
        <v>24</v>
      </c>
      <c r="K4" s="6" t="s">
        <v>25</v>
      </c>
      <c r="L4" s="6" t="s">
        <v>18</v>
      </c>
      <c r="M4" s="6" t="s">
        <v>22</v>
      </c>
      <c r="N4" s="6" t="s">
        <v>23</v>
      </c>
      <c r="U4" s="7"/>
    </row>
    <row r="5" spans="1:21" ht="16.5" customHeight="1" x14ac:dyDescent="0.25">
      <c r="C5" s="7" t="s">
        <v>65</v>
      </c>
      <c r="D5" s="7" t="s">
        <v>11</v>
      </c>
      <c r="E5" s="7" t="s">
        <v>62</v>
      </c>
      <c r="F5" s="8" t="s">
        <v>4</v>
      </c>
      <c r="G5" s="7" t="s">
        <v>26</v>
      </c>
      <c r="I5" s="8">
        <v>204</v>
      </c>
      <c r="J5" s="7" t="s">
        <v>77</v>
      </c>
      <c r="K5" s="8">
        <v>204</v>
      </c>
      <c r="N5" s="12" t="s">
        <v>70</v>
      </c>
    </row>
    <row r="6" spans="1:21" x14ac:dyDescent="0.25">
      <c r="C6" s="7" t="s">
        <v>6</v>
      </c>
      <c r="D6" s="7" t="s">
        <v>11</v>
      </c>
      <c r="E6" s="7" t="s">
        <v>66</v>
      </c>
      <c r="F6" s="8" t="s">
        <v>2</v>
      </c>
      <c r="G6" s="7" t="s">
        <v>26</v>
      </c>
      <c r="H6" s="7" t="s">
        <v>26</v>
      </c>
      <c r="I6" s="8">
        <v>200</v>
      </c>
      <c r="J6" s="7" t="s">
        <v>69</v>
      </c>
      <c r="K6" s="8">
        <v>200</v>
      </c>
      <c r="N6" s="12" t="s">
        <v>70</v>
      </c>
    </row>
    <row r="7" spans="1:21" x14ac:dyDescent="0.25">
      <c r="C7" s="7" t="s">
        <v>67</v>
      </c>
      <c r="D7" s="7" t="s">
        <v>11</v>
      </c>
      <c r="E7" s="7" t="s">
        <v>62</v>
      </c>
      <c r="F7" s="8" t="s">
        <v>3</v>
      </c>
      <c r="G7" s="7" t="s">
        <v>28</v>
      </c>
      <c r="I7" s="8">
        <v>200</v>
      </c>
      <c r="J7" s="7"/>
      <c r="N7" s="7"/>
    </row>
    <row r="8" spans="1:21" x14ac:dyDescent="0.25">
      <c r="C8" s="7" t="s">
        <v>68</v>
      </c>
      <c r="D8" s="7" t="s">
        <v>11</v>
      </c>
      <c r="E8" s="7" t="s">
        <v>66</v>
      </c>
      <c r="F8" s="8" t="s">
        <v>2</v>
      </c>
      <c r="G8" s="7" t="s">
        <v>28</v>
      </c>
      <c r="H8" s="7" t="s">
        <v>28</v>
      </c>
      <c r="I8" s="8">
        <v>200</v>
      </c>
      <c r="J8" s="7"/>
      <c r="N8" s="7"/>
    </row>
    <row r="9" spans="1:21" x14ac:dyDescent="0.25">
      <c r="C9" s="7" t="s">
        <v>72</v>
      </c>
      <c r="D9" s="7" t="s">
        <v>12</v>
      </c>
      <c r="E9" s="7" t="s">
        <v>63</v>
      </c>
      <c r="F9" s="8" t="s">
        <v>4</v>
      </c>
      <c r="G9" s="7" t="s">
        <v>27</v>
      </c>
      <c r="I9" s="8">
        <v>204</v>
      </c>
      <c r="J9" s="7" t="s">
        <v>81</v>
      </c>
      <c r="K9" s="8">
        <v>409</v>
      </c>
      <c r="N9" s="13" t="s">
        <v>78</v>
      </c>
    </row>
    <row r="10" spans="1:21" x14ac:dyDescent="0.25">
      <c r="C10" s="7" t="s">
        <v>73</v>
      </c>
      <c r="D10" s="7" t="s">
        <v>12</v>
      </c>
      <c r="E10" s="7" t="s">
        <v>74</v>
      </c>
      <c r="F10" s="8" t="s">
        <v>2</v>
      </c>
      <c r="G10" s="7" t="s">
        <v>27</v>
      </c>
      <c r="H10" s="7" t="s">
        <v>27</v>
      </c>
      <c r="I10" s="8">
        <v>200</v>
      </c>
      <c r="J10" s="7" t="s">
        <v>82</v>
      </c>
      <c r="K10" s="8">
        <v>200</v>
      </c>
      <c r="N10" s="12" t="s">
        <v>70</v>
      </c>
    </row>
    <row r="11" spans="1:21" x14ac:dyDescent="0.25">
      <c r="C11" s="7" t="s">
        <v>75</v>
      </c>
      <c r="D11" s="7" t="s">
        <v>12</v>
      </c>
      <c r="E11" s="7" t="s">
        <v>63</v>
      </c>
      <c r="F11" s="8" t="s">
        <v>5</v>
      </c>
      <c r="I11" s="8">
        <v>200</v>
      </c>
      <c r="J11" s="7" t="s">
        <v>79</v>
      </c>
      <c r="K11" s="8">
        <v>200</v>
      </c>
      <c r="N11" s="12" t="s">
        <v>70</v>
      </c>
    </row>
    <row r="12" spans="1:21" x14ac:dyDescent="0.25">
      <c r="C12" s="7" t="s">
        <v>76</v>
      </c>
      <c r="D12" s="7" t="s">
        <v>11</v>
      </c>
      <c r="E12" s="7" t="s">
        <v>62</v>
      </c>
      <c r="F12" s="8" t="s">
        <v>5</v>
      </c>
      <c r="I12" s="8">
        <v>200</v>
      </c>
      <c r="J12" s="7" t="s">
        <v>80</v>
      </c>
      <c r="K12" s="8">
        <v>200</v>
      </c>
      <c r="N12" s="12" t="s">
        <v>70</v>
      </c>
    </row>
  </sheetData>
  <dataValidations count="20">
    <dataValidation type="list" showInputMessage="1" showErrorMessage="1" sqref="D6:D8">
      <formula1>"VPN-INSTANCE,VPN-INTERFACE,INTERFACE"</formula1>
    </dataValidation>
    <dataValidation type="list" showInputMessage="1" showErrorMessage="1" sqref="E6:E8">
      <formula1>"l3vpn:vpn-instances/,l3vpn:vpn-interfaces/,ietf-interfaces:interfaces/,l3vpn:vpn-instances/vpn-instance/{vpn-instance-name},"</formula1>
    </dataValidation>
    <dataValidation type="list" showInputMessage="1" showErrorMessage="1" sqref="F6:F8">
      <formula1>HTTP_METHOD</formula1>
    </dataValidation>
    <dataValidation type="list" showInputMessage="1" showErrorMessage="1" sqref="I6:I8">
      <formula1>RESPONSE_CODES</formula1>
    </dataValidation>
    <dataValidation type="list" showInputMessage="1" showErrorMessage="1" sqref="D9">
      <formula1>"VPN-INSTANCE,VPN-INTERFACE,INTERFACE"</formula1>
    </dataValidation>
    <dataValidation type="list" showInputMessage="1" showErrorMessage="1" sqref="E9">
      <formula1>"l3vpn:vpn-instances/,l3vpn:vpn-interfaces/,ietf-interfaces:interfaces/,l3vpn:vpn-instances/vpn-instance/{vpn-instance-name},"</formula1>
    </dataValidation>
    <dataValidation type="list" showInputMessage="1" showErrorMessage="1" sqref="F9">
      <formula1>HTTP_METHOD</formula1>
    </dataValidation>
    <dataValidation type="list" showInputMessage="1" showErrorMessage="1" sqref="I9">
      <formula1>RESPONSE_CODES</formula1>
    </dataValidation>
    <dataValidation type="list" showInputMessage="1" showErrorMessage="1" sqref="D10">
      <formula1>"VPN-INSTANCE,VPN-INTERFACE,INTERFACE"</formula1>
    </dataValidation>
    <dataValidation type="list" showInputMessage="1" showErrorMessage="1" sqref="E10">
      <formula1>"l3vpn:vpn-instances/,l3vpn:vpn-interfaces/,ietf-interfaces:interfaces/,l3vpn:vpn-instances/vpn-instance/{vpn-instance-name},l3vpn:vpn-interfaces/vpn-interface/{name},"</formula1>
    </dataValidation>
    <dataValidation type="list" showInputMessage="1" showErrorMessage="1" sqref="F10">
      <formula1>HTTP_METHOD</formula1>
    </dataValidation>
    <dataValidation type="list" showInputMessage="1" showErrorMessage="1" sqref="I10">
      <formula1>RESPONSE_CODES</formula1>
    </dataValidation>
    <dataValidation type="list" showInputMessage="1" showErrorMessage="1" sqref="D11">
      <formula1>"VPN-INSTANCE,VPN-INTERFACE,INTERFACE"</formula1>
    </dataValidation>
    <dataValidation type="list" showInputMessage="1" showErrorMessage="1" sqref="E11">
      <formula1>"l3vpn:vpn-instances/,l3vpn:vpn-interfaces/,ietf-interfaces:interfaces/,l3vpn:vpn-instances/vpn-instance/{vpn-instance-name},l3vpn:vpn-interfaces/vpn-interface/{name},"</formula1>
    </dataValidation>
    <dataValidation type="list" showInputMessage="1" showErrorMessage="1" sqref="F11">
      <formula1>HTTP_METHOD</formula1>
    </dataValidation>
    <dataValidation type="list" showInputMessage="1" showErrorMessage="1" sqref="I11">
      <formula1>RESPONSE_CODES</formula1>
    </dataValidation>
    <dataValidation type="list" showInputMessage="1" showErrorMessage="1" sqref="D12">
      <formula1>"VPN-INSTANCE,VPN-INTERFACE,INTERFACE"</formula1>
    </dataValidation>
    <dataValidation type="list" showInputMessage="1" showErrorMessage="1" sqref="E12">
      <formula1>"l3vpn:vpn-instances/,l3vpn:vpn-interfaces/,ietf-interfaces:interfaces/,l3vpn:vpn-instances/vpn-instance/{vpn-instance-name},l3vpn:vpn-interfaces/vpn-interface/{name},"</formula1>
    </dataValidation>
    <dataValidation type="list" showInputMessage="1" showErrorMessage="1" sqref="F12">
      <formula1>HTTP_METHOD</formula1>
    </dataValidation>
    <dataValidation type="list" showInputMessage="1" showErrorMessage="1" sqref="I12">
      <formula1>RESPONSE_CODES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8" r:id="rId4" name="Add Test6">
              <controlPr defaultSize="0" print="0" autoFill="0" autoPict="0" macro="[0]!APITEST.AddARow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5" name="Execute6">
              <controlPr defaultSize="0" print="0" autoFill="0" autoPict="0" macro="[0]!APITEST.ExecuteTest">
                <anchor moveWithCells="1" siz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6" name="Button 509">
              <controlPr defaultSize="0" print="0" autoFill="0" autoPict="0" macro="[0]!APITEST.AddARow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7" name="Button 510">
              <controlPr defaultSize="0" print="0" autoFill="0" autoPict="0" macro="[0]!APITEST.ExecuteTest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8" name="Add Test7">
              <controlPr defaultSize="0" print="0" autoFill="0" autoPict="0" macro="[0]!APITEST.AddARow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9" name="Execute7">
              <controlPr defaultSize="0" print="0" autoFill="0" autoPict="0" macro="[0]!APITEST.ExecuteTest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0" name="Add Test8">
              <controlPr defaultSize="0" print="0" autoFill="0" autoPict="0" macro="[0]!APITEST.AddARow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1" name="Execute8">
              <controlPr defaultSize="0" print="0" autoFill="0" autoPict="0" macro="[0]!APITEST.ExecuteTest">
                <anchor moveWithCells="1" sizeWithCells="1">
                  <from>
                    <xdr:col>11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2" name="Add Test9">
              <controlPr defaultSize="0" print="0" autoFill="0" autoPict="0" macro="[0]!APITEST.AddARow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3" name="Execute9">
              <controlPr defaultSize="0" print="0" autoFill="0" autoPict="0" macro="[0]!APITEST.ExecuteTest">
                <anchor moveWithCells="1" siz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4" name="Add Test10">
              <controlPr defaultSize="0" print="0" autoFill="0" autoPict="0" macro="[0]!APITEST.AddARow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5" name="Execute10">
              <controlPr defaultSize="0" print="0" autoFill="0" autoPict="0" macro="[0]!APITEST.ExecuteTest">
                <anchor moveWithCells="1" siz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16" name="Add Test11">
              <controlPr defaultSize="0" print="0" autoFill="0" autoPict="0" macro="[0]!APITEST.AddARow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17" name="Execute11">
              <controlPr defaultSize="0" print="0" autoFill="0" autoPict="0" macro="[0]!APITEST.ExecuteTest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18" name="Add Test12">
              <controlPr defaultSize="0" print="0" autoFill="0" autoPict="0" macro="[0]!APITEST.AddARow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9" name="Execute12">
              <controlPr defaultSize="0" print="0" autoFill="0" autoPict="0" macro="[0]!APITEST.ExecuteTest">
                <anchor moveWithCells="1" sizeWithCells="1">
                  <from>
                    <xdr:col>11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I14" sqref="I14"/>
    </sheetView>
  </sheetViews>
  <sheetFormatPr defaultRowHeight="15" x14ac:dyDescent="0.25"/>
  <cols>
    <col min="1" max="1" width="15.85546875" customWidth="1"/>
    <col min="2" max="2" width="8.85546875" style="1" customWidth="1"/>
    <col min="3" max="3" width="18.28515625" bestFit="1" customWidth="1"/>
    <col min="4" max="4" width="62.42578125" customWidth="1"/>
    <col min="5" max="5" width="17" customWidth="1"/>
  </cols>
  <sheetData>
    <row r="1" spans="1:5" x14ac:dyDescent="0.25">
      <c r="A1" s="2" t="s">
        <v>8</v>
      </c>
      <c r="B1" s="3">
        <v>3</v>
      </c>
    </row>
    <row r="3" spans="1:5" x14ac:dyDescent="0.25">
      <c r="C3" s="2" t="s">
        <v>16</v>
      </c>
      <c r="D3" s="2" t="s">
        <v>10</v>
      </c>
      <c r="E3" s="2" t="s">
        <v>20</v>
      </c>
    </row>
    <row r="4" spans="1:5" x14ac:dyDescent="0.25">
      <c r="C4" s="4" t="s">
        <v>11</v>
      </c>
      <c r="D4" s="4" t="s">
        <v>62</v>
      </c>
      <c r="E4" t="s">
        <v>2</v>
      </c>
    </row>
    <row r="5" spans="1:5" x14ac:dyDescent="0.25">
      <c r="C5" s="4" t="s">
        <v>11</v>
      </c>
      <c r="D5" s="4" t="s">
        <v>62</v>
      </c>
      <c r="E5" t="s">
        <v>3</v>
      </c>
    </row>
    <row r="6" spans="1:5" x14ac:dyDescent="0.25">
      <c r="C6" s="4" t="s">
        <v>11</v>
      </c>
      <c r="D6" s="4" t="s">
        <v>62</v>
      </c>
      <c r="E6" t="s">
        <v>4</v>
      </c>
    </row>
    <row r="7" spans="1:5" x14ac:dyDescent="0.25">
      <c r="C7" s="4" t="s">
        <v>11</v>
      </c>
      <c r="D7" s="4" t="s">
        <v>62</v>
      </c>
      <c r="E7" t="s">
        <v>5</v>
      </c>
    </row>
    <row r="8" spans="1:5" x14ac:dyDescent="0.25">
      <c r="C8" s="4" t="s">
        <v>12</v>
      </c>
      <c r="D8" s="4" t="s">
        <v>63</v>
      </c>
      <c r="E8" t="s">
        <v>2</v>
      </c>
    </row>
    <row r="9" spans="1:5" x14ac:dyDescent="0.25">
      <c r="C9" s="4" t="s">
        <v>13</v>
      </c>
      <c r="D9" s="4" t="s">
        <v>64</v>
      </c>
      <c r="E9" s="4" t="s">
        <v>2</v>
      </c>
    </row>
    <row r="10" spans="1:5" x14ac:dyDescent="0.25">
      <c r="C10" s="4" t="s">
        <v>11</v>
      </c>
      <c r="D10" s="4" t="s">
        <v>66</v>
      </c>
      <c r="E10" s="4" t="s">
        <v>2</v>
      </c>
    </row>
    <row r="11" spans="1:5" x14ac:dyDescent="0.25">
      <c r="C11" s="4" t="s">
        <v>12</v>
      </c>
      <c r="D11" s="4" t="s">
        <v>74</v>
      </c>
      <c r="E11" s="4" t="s">
        <v>2</v>
      </c>
    </row>
  </sheetData>
  <dataValidations count="1">
    <dataValidation type="list" allowBlank="1" showInputMessage="1" showErrorMessage="1" sqref="E4:E1048576">
      <formula1>HTTP_METHOD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6"/>
  <sheetViews>
    <sheetView workbookViewId="0">
      <selection activeCell="G9" sqref="G9"/>
    </sheetView>
  </sheetViews>
  <sheetFormatPr defaultRowHeight="15" x14ac:dyDescent="0.25"/>
  <cols>
    <col min="1" max="1" width="11.7109375" bestFit="1" customWidth="1"/>
    <col min="3" max="3" width="14.140625" bestFit="1" customWidth="1"/>
    <col min="4" max="4" width="64.140625" bestFit="1" customWidth="1"/>
  </cols>
  <sheetData>
    <row r="1" spans="1:4" x14ac:dyDescent="0.25">
      <c r="A1" s="2" t="s">
        <v>8</v>
      </c>
      <c r="B1" s="2">
        <v>4</v>
      </c>
    </row>
    <row r="4" spans="1:4" x14ac:dyDescent="0.25">
      <c r="C4" s="2" t="s">
        <v>16</v>
      </c>
      <c r="D4" s="2" t="s">
        <v>34</v>
      </c>
    </row>
    <row r="5" spans="1:4" x14ac:dyDescent="0.25">
      <c r="C5" s="4" t="s">
        <v>11</v>
      </c>
      <c r="D5" t="s">
        <v>14</v>
      </c>
    </row>
    <row r="6" spans="1:4" x14ac:dyDescent="0.25">
      <c r="C6" s="4" t="s">
        <v>11</v>
      </c>
      <c r="D6" t="s">
        <v>14</v>
      </c>
    </row>
    <row r="7" spans="1:4" x14ac:dyDescent="0.25">
      <c r="C7" s="4" t="s">
        <v>11</v>
      </c>
      <c r="D7" t="s">
        <v>14</v>
      </c>
    </row>
    <row r="8" spans="1:4" x14ac:dyDescent="0.25">
      <c r="C8" s="4" t="s">
        <v>11</v>
      </c>
      <c r="D8" t="s">
        <v>14</v>
      </c>
    </row>
    <row r="9" spans="1:4" x14ac:dyDescent="0.25">
      <c r="C9" s="4" t="s">
        <v>12</v>
      </c>
      <c r="D9" t="s">
        <v>14</v>
      </c>
    </row>
    <row r="10" spans="1:4" x14ac:dyDescent="0.25">
      <c r="C10" s="4" t="s">
        <v>12</v>
      </c>
      <c r="D10" t="s">
        <v>14</v>
      </c>
    </row>
    <row r="11" spans="1:4" x14ac:dyDescent="0.25">
      <c r="C11" s="4" t="s">
        <v>12</v>
      </c>
      <c r="D11" t="s">
        <v>14</v>
      </c>
    </row>
    <row r="12" spans="1:4" x14ac:dyDescent="0.25">
      <c r="C12" s="4" t="s">
        <v>12</v>
      </c>
      <c r="D12" t="s">
        <v>14</v>
      </c>
    </row>
    <row r="13" spans="1:4" x14ac:dyDescent="0.25">
      <c r="C13" s="4" t="s">
        <v>13</v>
      </c>
      <c r="D13" t="s">
        <v>15</v>
      </c>
    </row>
    <row r="14" spans="1:4" x14ac:dyDescent="0.25">
      <c r="C14" s="4" t="s">
        <v>13</v>
      </c>
      <c r="D14" t="s">
        <v>15</v>
      </c>
    </row>
    <row r="15" spans="1:4" x14ac:dyDescent="0.25">
      <c r="C15" s="4" t="s">
        <v>13</v>
      </c>
      <c r="D15" t="s">
        <v>15</v>
      </c>
    </row>
    <row r="16" spans="1:4" x14ac:dyDescent="0.25">
      <c r="C16" s="4" t="s">
        <v>13</v>
      </c>
      <c r="D16" t="s">
        <v>15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selection activeCell="A16" sqref="A16"/>
    </sheetView>
  </sheetViews>
  <sheetFormatPr defaultRowHeight="15" x14ac:dyDescent="0.25"/>
  <cols>
    <col min="1" max="1" width="11.7109375" bestFit="1" customWidth="1"/>
    <col min="3" max="3" width="16.85546875" style="1" customWidth="1"/>
    <col min="4" max="4" width="51.7109375" bestFit="1" customWidth="1"/>
  </cols>
  <sheetData>
    <row r="1" spans="1:4" x14ac:dyDescent="0.25">
      <c r="A1" s="2" t="s">
        <v>8</v>
      </c>
      <c r="B1" s="2">
        <v>4</v>
      </c>
    </row>
    <row r="4" spans="1:4" x14ac:dyDescent="0.25">
      <c r="C4" s="3" t="s">
        <v>31</v>
      </c>
      <c r="D4" s="3" t="s">
        <v>30</v>
      </c>
    </row>
    <row r="5" spans="1:4" x14ac:dyDescent="0.25">
      <c r="C5" s="1">
        <v>401</v>
      </c>
      <c r="D5" t="s">
        <v>32</v>
      </c>
    </row>
    <row r="6" spans="1:4" x14ac:dyDescent="0.25">
      <c r="C6" s="1">
        <v>404</v>
      </c>
      <c r="D6" t="s">
        <v>33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0"/>
  <sheetViews>
    <sheetView workbookViewId="0">
      <selection activeCell="D8" sqref="D8"/>
    </sheetView>
  </sheetViews>
  <sheetFormatPr defaultRowHeight="15" x14ac:dyDescent="0.25"/>
  <cols>
    <col min="1" max="1" width="20.42578125" bestFit="1" customWidth="1"/>
    <col min="2" max="2" width="21.85546875" customWidth="1"/>
    <col min="3" max="3" width="16.5703125" bestFit="1" customWidth="1"/>
    <col min="4" max="4" width="33.28515625" bestFit="1" customWidth="1"/>
  </cols>
  <sheetData>
    <row r="1" spans="1:2" s="1" customFormat="1" x14ac:dyDescent="0.25">
      <c r="A1" s="3" t="s">
        <v>0</v>
      </c>
      <c r="B1" s="3" t="s">
        <v>1</v>
      </c>
    </row>
    <row r="2" spans="1:2" x14ac:dyDescent="0.25">
      <c r="A2" t="s">
        <v>4</v>
      </c>
      <c r="B2">
        <v>200</v>
      </c>
    </row>
    <row r="3" spans="1:2" x14ac:dyDescent="0.25">
      <c r="A3" t="s">
        <v>2</v>
      </c>
      <c r="B3">
        <v>201</v>
      </c>
    </row>
    <row r="4" spans="1:2" x14ac:dyDescent="0.25">
      <c r="A4" t="s">
        <v>3</v>
      </c>
      <c r="B4">
        <v>204</v>
      </c>
    </row>
    <row r="5" spans="1:2" x14ac:dyDescent="0.25">
      <c r="A5" t="s">
        <v>5</v>
      </c>
      <c r="B5">
        <v>304</v>
      </c>
    </row>
    <row r="6" spans="1:2" x14ac:dyDescent="0.25">
      <c r="B6">
        <v>400</v>
      </c>
    </row>
    <row r="7" spans="1:2" x14ac:dyDescent="0.25">
      <c r="B7">
        <v>401</v>
      </c>
    </row>
    <row r="8" spans="1:2" x14ac:dyDescent="0.25">
      <c r="B8">
        <v>403</v>
      </c>
    </row>
    <row r="9" spans="1:2" x14ac:dyDescent="0.25">
      <c r="B9">
        <v>409</v>
      </c>
    </row>
    <row r="10" spans="1:2" x14ac:dyDescent="0.25">
      <c r="B10">
        <v>500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selection activeCell="G14" sqref="G14"/>
    </sheetView>
  </sheetViews>
  <sheetFormatPr defaultRowHeight="15" x14ac:dyDescent="0.25"/>
  <cols>
    <col min="1" max="1" width="30.140625" bestFit="1" customWidth="1"/>
    <col min="2" max="2" width="31.42578125" bestFit="1" customWidth="1"/>
    <col min="3" max="3" width="31.42578125" customWidth="1"/>
    <col min="4" max="4" width="35.28515625" customWidth="1"/>
  </cols>
  <sheetData>
    <row r="1" spans="1:4" x14ac:dyDescent="0.25">
      <c r="A1" s="2" t="s">
        <v>37</v>
      </c>
      <c r="B1" s="2" t="s">
        <v>38</v>
      </c>
      <c r="C1" s="2" t="s">
        <v>39</v>
      </c>
      <c r="D1" s="2" t="s">
        <v>40</v>
      </c>
    </row>
    <row r="2" spans="1:4" x14ac:dyDescent="0.25">
      <c r="A2" s="10" t="s">
        <v>26</v>
      </c>
      <c r="B2" s="10" t="s">
        <v>42</v>
      </c>
      <c r="C2" s="11" t="s">
        <v>27</v>
      </c>
      <c r="D2" s="11" t="s">
        <v>48</v>
      </c>
    </row>
    <row r="3" spans="1:4" x14ac:dyDescent="0.25">
      <c r="A3" s="10" t="s">
        <v>28</v>
      </c>
      <c r="B3" s="10" t="s">
        <v>43</v>
      </c>
      <c r="C3" s="11" t="s">
        <v>45</v>
      </c>
      <c r="D3" s="11" t="s">
        <v>49</v>
      </c>
    </row>
    <row r="4" spans="1:4" x14ac:dyDescent="0.25">
      <c r="A4" s="10" t="s">
        <v>36</v>
      </c>
      <c r="B4" s="10" t="s">
        <v>29</v>
      </c>
      <c r="C4" s="11" t="s">
        <v>46</v>
      </c>
      <c r="D4" s="11" t="s">
        <v>50</v>
      </c>
    </row>
    <row r="5" spans="1:4" x14ac:dyDescent="0.25">
      <c r="A5" s="10" t="s">
        <v>41</v>
      </c>
      <c r="B5" s="10" t="s">
        <v>44</v>
      </c>
      <c r="C5" s="11" t="s">
        <v>47</v>
      </c>
      <c r="D5" s="11" t="s">
        <v>51</v>
      </c>
    </row>
  </sheetData>
  <hyperlinks>
    <hyperlink ref="A2" location="'vpn-instance.request'!E4" display="'vpn-instance.request.payload_1"/>
    <hyperlink ref="A3" location="'vpn-instance.request'!F4" display="vpn-instance.request.payload_2"/>
    <hyperlink ref="A4" location="'vpn-instance.request'!G4" display="vpn-instance.request.payload_3"/>
    <hyperlink ref="A5" location="'vpn-instance.request'!H4" display="vpn-instance.request.payload_4"/>
    <hyperlink ref="B2" location="'vpn-instance.response'!D4" display="vpn-instance.response.APITEST_1"/>
    <hyperlink ref="B3:B5" location="'vpn-instance.response'!D4" display="vpn-instance.response.APITEST_1"/>
    <hyperlink ref="B2:B5" location="'vpn-instance.response'!F4" display="vpn-instance.response.APITEST_1"/>
    <hyperlink ref="B3" location="'vpn-instance.response'!E4" display="vpn-instance.response.APITEST_2"/>
    <hyperlink ref="B5" location="'vpn-instance.response'!G4" display="vpn-instance.response.APITEST_4"/>
    <hyperlink ref="C2:C5" location="'vpn-interface.request'!E4" display="vpn-interface.request.payload_1"/>
    <hyperlink ref="C3" location="'vpn-interface.request'!F4" display="vpn-interface.request.payload_2"/>
    <hyperlink ref="C4" location="'vpn-interface.request'!G4" display="vpn-interface.request.payload_3"/>
    <hyperlink ref="C5" location="'vpn-interface.request'!H4" display="vpn-interface.request.payload_4"/>
    <hyperlink ref="D2" location="'vpn-interface.response'!D4" display="vpn-interface.response.APITEST_6"/>
    <hyperlink ref="D3:D5" location="'vpn-interface.response'!D4" display="vpn-interface.response.APITEST_6"/>
    <hyperlink ref="D3" location="'vpn-interface.response'!E4" display="vpn-interface.response.APITEST_7"/>
    <hyperlink ref="D4" location="'vpn-interface.response'!F4" display="vpn-interface.response.APITEST_8"/>
    <hyperlink ref="D5" location="'vpn-interface.response'!G4" display="vpn-interface.response.APITEST_9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"/>
  <sheetViews>
    <sheetView workbookViewId="0">
      <selection activeCell="A21" sqref="A21"/>
    </sheetView>
  </sheetViews>
  <sheetFormatPr defaultRowHeight="15" x14ac:dyDescent="0.25"/>
  <cols>
    <col min="1" max="1" width="15.42578125" customWidth="1"/>
    <col min="2" max="2" width="13.5703125" customWidth="1"/>
  </cols>
  <sheetData>
    <row r="1" spans="1:2" x14ac:dyDescent="0.25">
      <c r="A1" t="s">
        <v>52</v>
      </c>
      <c r="B1" t="s">
        <v>57</v>
      </c>
    </row>
    <row r="2" spans="1:2" x14ac:dyDescent="0.25">
      <c r="A2" t="s">
        <v>53</v>
      </c>
      <c r="B2" t="s">
        <v>58</v>
      </c>
    </row>
    <row r="3" spans="1:2" x14ac:dyDescent="0.25">
      <c r="A3" t="s">
        <v>54</v>
      </c>
      <c r="B3" t="s">
        <v>58</v>
      </c>
    </row>
    <row r="4" spans="1:2" x14ac:dyDescent="0.25">
      <c r="A4" t="s">
        <v>55</v>
      </c>
      <c r="B4" t="s">
        <v>59</v>
      </c>
    </row>
    <row r="5" spans="1:2" x14ac:dyDescent="0.25">
      <c r="A5" t="s">
        <v>56</v>
      </c>
      <c r="B5">
        <v>8181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"/>
  <sheetViews>
    <sheetView workbookViewId="0">
      <selection activeCell="B6" sqref="B6"/>
    </sheetView>
  </sheetViews>
  <sheetFormatPr defaultRowHeight="15" x14ac:dyDescent="0.25"/>
  <cols>
    <col min="1" max="1" width="21" customWidth="1"/>
    <col min="2" max="2" width="84.85546875" bestFit="1" customWidth="1"/>
    <col min="4" max="4" width="70.85546875" bestFit="1" customWidth="1"/>
  </cols>
  <sheetData>
    <row r="1" spans="1:2" x14ac:dyDescent="0.25">
      <c r="A1" s="2" t="s">
        <v>60</v>
      </c>
      <c r="B1" s="2" t="s">
        <v>61</v>
      </c>
    </row>
    <row r="2" spans="1:2" x14ac:dyDescent="0.25">
      <c r="A2" t="s">
        <v>11</v>
      </c>
      <c r="B2" t="s">
        <v>71</v>
      </c>
    </row>
    <row r="3" spans="1:2" x14ac:dyDescent="0.25">
      <c r="A3" t="s">
        <v>12</v>
      </c>
      <c r="B3" t="s">
        <v>71</v>
      </c>
    </row>
    <row r="4" spans="1:2" x14ac:dyDescent="0.25">
      <c r="A4" t="s">
        <v>13</v>
      </c>
      <c r="B4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APITEST</vt:lpstr>
      <vt:lpstr>endpoint urls</vt:lpstr>
      <vt:lpstr>model schemas</vt:lpstr>
      <vt:lpstr>error schemas</vt:lpstr>
      <vt:lpstr>HTTP</vt:lpstr>
      <vt:lpstr>Payload References</vt:lpstr>
      <vt:lpstr>Configuration</vt:lpstr>
      <vt:lpstr>datasource references</vt:lpstr>
      <vt:lpstr>HTTP_METHOD</vt:lpstr>
      <vt:lpstr>RESPONSE_CODES</vt:lpstr>
      <vt:lpstr>URLS</vt:lpstr>
      <vt:lpstr>vpn_instance_request_payload</vt:lpstr>
      <vt:lpstr>vpn_instance_response_payload</vt:lpstr>
      <vt:lpstr>vpn_interface_request_payload</vt:lpstr>
      <vt:lpstr>vpn_interface_response_payload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Prakash</dc:creator>
  <cp:lastModifiedBy>Karthik Prakash</cp:lastModifiedBy>
  <dcterms:created xsi:type="dcterms:W3CDTF">2016-09-16T09:06:15Z</dcterms:created>
  <dcterms:modified xsi:type="dcterms:W3CDTF">2017-01-02T08:41:04Z</dcterms:modified>
</cp:coreProperties>
</file>